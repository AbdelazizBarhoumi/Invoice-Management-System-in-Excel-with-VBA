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00000000-0000-0000-0000-000000000000}"/>
  <workbookPr codeName="ThisWorkbook"/>
  <xr:revisionPtr revIDLastSave="0" documentId="11_DBBA49A64E7F3F0811DA2EC17F1E0B3E8F45C2C3" xr6:coauthVersionLast="47" xr6:coauthVersionMax="47" xr10:uidLastSave="{00000000-0000-0000-0000-000000000000}"/>
  <bookViews>
    <workbookView xWindow="0" yWindow="0" windowWidth="23040" windowHeight="8555" xr2:uid="{00000000-000D-0000-FFFF-FFFF00000000}"/>
  </bookViews>
  <sheets>
    <sheet name="Invoice" sheetId="1" r:id="rId1"/>
    <sheet name="Company info" sheetId="3" r:id="rId2"/>
    <sheet name="Products &amp; Services" sheetId="2" r:id="rId3"/>
  </sheets>
  <definedNames>
    <definedName name="_xlnm.Print_Area" localSheetId="0">Invoice!$B$3:$K$33</definedName>
    <definedName name="_xlnm.Print_Area" localSheetId="2">products[#All]</definedName>
    <definedName name="_xlnm.Print_Titles" localSheetId="2">'Products &amp; Services'!$3:$3</definedName>
    <definedName name="product.list">products[Name]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1" l="1"/>
  <c r="G25" i="1"/>
  <c r="J23" i="1"/>
  <c r="J21" i="1"/>
  <c r="F20" i="1"/>
  <c r="J19" i="1"/>
  <c r="H19" i="1"/>
  <c r="F19" i="1"/>
  <c r="H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abdulazeez brhomi</author>
  </authors>
  <commentList>
    <comment ref="C12" authorId="0" shapeId="0" xr:uid="{00000000-0006-0000-0000-000001000000}">
      <text>
        <r>
          <rPr>
            <sz val="9"/>
            <rFont val="Tahoma"/>
            <charset val="134"/>
          </rPr>
          <t>Your name</t>
        </r>
      </text>
    </comment>
    <comment ref="H12" authorId="0" shapeId="0" xr:uid="{00000000-0006-0000-0000-000002000000}">
      <text>
        <r>
          <rPr>
            <b/>
            <sz val="9"/>
            <rFont val="Tahoma"/>
            <charset val="134"/>
          </rPr>
          <t>Receivers Name</t>
        </r>
      </text>
    </comment>
    <comment ref="C13" authorId="0" shapeId="0" xr:uid="{00000000-0006-0000-0000-000003000000}">
      <text>
        <r>
          <rPr>
            <sz val="9"/>
            <rFont val="Tahoma"/>
            <charset val="134"/>
          </rPr>
          <t>Address</t>
        </r>
      </text>
    </comment>
    <comment ref="H13" authorId="0" shapeId="0" xr:uid="{00000000-0006-0000-0000-000004000000}">
      <text>
        <r>
          <rPr>
            <b/>
            <sz val="9"/>
            <rFont val="Tahoma"/>
            <charset val="134"/>
          </rPr>
          <t>Address</t>
        </r>
      </text>
    </comment>
    <comment ref="C14" authorId="0" shapeId="0" xr:uid="{00000000-0006-0000-0000-000005000000}">
      <text>
        <r>
          <rPr>
            <sz val="9"/>
            <rFont val="Tahoma"/>
            <charset val="134"/>
          </rPr>
          <t>Email Address</t>
        </r>
      </text>
    </comment>
    <comment ref="H14" authorId="0" shapeId="0" xr:uid="{00000000-0006-0000-0000-000006000000}">
      <text>
        <r>
          <rPr>
            <b/>
            <sz val="9"/>
            <rFont val="Tahoma"/>
            <charset val="134"/>
          </rPr>
          <t>Email Address</t>
        </r>
      </text>
    </comment>
    <comment ref="C15" authorId="0" shapeId="0" xr:uid="{00000000-0006-0000-0000-000007000000}">
      <text>
        <r>
          <rPr>
            <sz val="9"/>
            <rFont val="Tahoma"/>
            <charset val="134"/>
          </rPr>
          <t>Phone number</t>
        </r>
      </text>
    </comment>
    <comment ref="H15" authorId="0" shapeId="0" xr:uid="{00000000-0006-0000-0000-000008000000}">
      <text>
        <r>
          <rPr>
            <b/>
            <sz val="9"/>
            <rFont val="Tahoma"/>
            <charset val="134"/>
          </rPr>
          <t>Phone number</t>
        </r>
      </text>
    </comment>
  </commentList>
</comments>
</file>

<file path=xl/sharedStrings.xml><?xml version="1.0" encoding="utf-8"?>
<sst xmlns="http://schemas.openxmlformats.org/spreadsheetml/2006/main" count="109" uniqueCount="62">
  <si>
    <t>Invoice Template</t>
  </si>
  <si>
    <t>INVOICE</t>
  </si>
  <si>
    <t>Invoice 010</t>
  </si>
  <si>
    <t>From:</t>
  </si>
  <si>
    <t>To:</t>
  </si>
  <si>
    <t xml:space="preserve">azeez brhomi </t>
  </si>
  <si>
    <t>tunis,sousse</t>
  </si>
  <si>
    <t>abdulaziz barhoumi</t>
  </si>
  <si>
    <t>#</t>
  </si>
  <si>
    <t>Item</t>
  </si>
  <si>
    <t>Qty</t>
  </si>
  <si>
    <t>Unit cost</t>
  </si>
  <si>
    <t>Discount</t>
  </si>
  <si>
    <t>Total</t>
  </si>
  <si>
    <t>Tax rate</t>
  </si>
  <si>
    <t>Payment Instructions</t>
  </si>
  <si>
    <t>Signature</t>
  </si>
  <si>
    <t>Your company name, address and footer</t>
  </si>
  <si>
    <t>Invoice Template - Product &amp; Services Data</t>
  </si>
  <si>
    <t>ID</t>
  </si>
  <si>
    <t>Name</t>
  </si>
  <si>
    <t>Avaluable</t>
  </si>
  <si>
    <t>Used</t>
  </si>
  <si>
    <t>Unit Cost</t>
  </si>
  <si>
    <t>P0001</t>
  </si>
  <si>
    <t>Do It Yourself Tornado Kit</t>
  </si>
  <si>
    <t>P0002</t>
  </si>
  <si>
    <t>Dog Sled</t>
  </si>
  <si>
    <t>P0003</t>
  </si>
  <si>
    <t>Dynamite</t>
  </si>
  <si>
    <t>P0004</t>
  </si>
  <si>
    <t>Earth Quake Pills</t>
  </si>
  <si>
    <t>P0005</t>
  </si>
  <si>
    <t>Electronic Fan</t>
  </si>
  <si>
    <t>P0006</t>
  </si>
  <si>
    <t>Electronic Motor</t>
  </si>
  <si>
    <t>P0007</t>
  </si>
  <si>
    <t>Explosive Tennis Balls</t>
  </si>
  <si>
    <t>P0008</t>
  </si>
  <si>
    <t>Female Road Runner Costume</t>
  </si>
  <si>
    <t>P0009</t>
  </si>
  <si>
    <t>Frisbee</t>
  </si>
  <si>
    <t>P0010</t>
  </si>
  <si>
    <t>Giant Mouse Trap</t>
  </si>
  <si>
    <t>P0011</t>
  </si>
  <si>
    <t>Giant Kite Kit</t>
  </si>
  <si>
    <t>P0012</t>
  </si>
  <si>
    <t>Giant Rubber Band</t>
  </si>
  <si>
    <t>P0013</t>
  </si>
  <si>
    <t>Bat-mans's outfit</t>
  </si>
  <si>
    <t>P0014</t>
  </si>
  <si>
    <t>Glue</t>
  </si>
  <si>
    <t>P0015</t>
  </si>
  <si>
    <t>Grease</t>
  </si>
  <si>
    <t>P0016</t>
  </si>
  <si>
    <t>Handlebars</t>
  </si>
  <si>
    <t>P0017</t>
  </si>
  <si>
    <t>ggg</t>
  </si>
  <si>
    <t>rrrrrrr</t>
  </si>
  <si>
    <t>P018</t>
  </si>
  <si>
    <t>P019</t>
  </si>
  <si>
    <t>jjj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</si>
</sst>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6" formatCode="dddd/m/yyyy\ \ \ \ \ \ h:mm:ss\ AM/PM"/>
  </numFmts>
  <fonts count="15" x14ac:knownFonts="1">
    <font>
      <sz val="11"/>
      <color theme="1"/>
      <name val="Calibri"/>
      <charset val="134"/>
      <scheme val="minor"/>
    </font>
    <font>
      <sz val="20"/>
      <color theme="0"/>
      <name val="Calibri"/>
      <charset val="134"/>
      <scheme val="minor"/>
    </font>
    <font>
      <sz val="1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sz val="11"/>
      <color theme="1" tint="0.499984740745262"/>
      <name val="Calibri"/>
      <charset val="134"/>
      <scheme val="minor"/>
    </font>
    <font>
      <sz val="11"/>
      <color theme="1" tint="0.499984740745262"/>
      <name val="Calibri"/>
      <charset val="134"/>
      <scheme val="minor"/>
    </font>
    <font>
      <sz val="16"/>
      <color theme="1"/>
      <name val="Calibri"/>
      <charset val="134"/>
      <scheme val="minor"/>
    </font>
    <font>
      <sz val="9"/>
      <color theme="1" tint="0.499984740745262"/>
      <name val="Calibri"/>
      <charset val="134"/>
      <scheme val="minor"/>
    </font>
    <font>
      <sz val="2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sz val="9"/>
      <name val="Tahoma"/>
      <charset val="134"/>
    </font>
    <font>
      <b/>
      <sz val="9"/>
      <name val="Tahoma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85">
    <xf numFmtId="0" fontId="0" fillId="0" borderId="0" xfId="0"/>
    <xf numFmtId="0" fontId="1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44" fontId="0" fillId="0" borderId="0" xfId="1" applyFont="1" applyAlignment="1">
      <alignment horizontal="center"/>
    </xf>
    <xf numFmtId="44" fontId="0" fillId="0" borderId="0" xfId="1" applyNumberFormat="1" applyFont="1" applyAlignment="1">
      <alignment horizontal="center"/>
    </xf>
    <xf numFmtId="0" fontId="1" fillId="2" borderId="0" xfId="0" applyFont="1" applyFill="1" applyAlignment="1" applyProtection="1">
      <alignment vertical="center"/>
      <protection locked="0" hidden="1"/>
    </xf>
    <xf numFmtId="0" fontId="0" fillId="0" borderId="0" xfId="0" applyProtection="1">
      <protection locked="0" hidden="1"/>
    </xf>
    <xf numFmtId="0" fontId="2" fillId="0" borderId="0" xfId="0" applyFont="1" applyProtection="1">
      <protection locked="0" hidden="1"/>
    </xf>
    <xf numFmtId="0" fontId="0" fillId="0" borderId="1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0" xfId="0" applyProtection="1">
      <protection hidden="1"/>
    </xf>
    <xf numFmtId="0" fontId="5" fillId="0" borderId="8" xfId="0" applyFont="1" applyBorder="1" applyAlignment="1" applyProtection="1">
      <alignment horizontal="left"/>
      <protection hidden="1"/>
    </xf>
    <xf numFmtId="0" fontId="5" fillId="0" borderId="9" xfId="0" applyFont="1" applyBorder="1" applyAlignment="1" applyProtection="1">
      <alignment horizontal="left"/>
      <protection hidden="1"/>
    </xf>
    <xf numFmtId="0" fontId="5" fillId="0" borderId="8" xfId="0" applyFont="1" applyBorder="1" applyProtection="1">
      <protection hidden="1"/>
    </xf>
    <xf numFmtId="0" fontId="6" fillId="4" borderId="14" xfId="0" applyFont="1" applyFill="1" applyBorder="1" applyAlignment="1" applyProtection="1">
      <alignment horizontal="right" indent="1"/>
    </xf>
    <xf numFmtId="0" fontId="4" fillId="4" borderId="15" xfId="0" applyFont="1" applyFill="1" applyBorder="1" applyProtection="1"/>
    <xf numFmtId="0" fontId="4" fillId="4" borderId="15" xfId="0" applyFont="1" applyFill="1" applyBorder="1" applyAlignment="1" applyProtection="1">
      <alignment horizontal="center"/>
    </xf>
    <xf numFmtId="0" fontId="4" fillId="4" borderId="15" xfId="0" applyFont="1" applyFill="1" applyBorder="1" applyAlignment="1" applyProtection="1">
      <alignment horizontal="right"/>
    </xf>
    <xf numFmtId="0" fontId="7" fillId="0" borderId="16" xfId="0" applyFont="1" applyBorder="1" applyAlignment="1">
      <alignment horizontal="right" indent="1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44" fontId="0" fillId="0" borderId="17" xfId="1" applyFont="1" applyBorder="1"/>
    <xf numFmtId="0" fontId="7" fillId="0" borderId="0" xfId="0" applyFont="1" applyAlignment="1" applyProtection="1">
      <alignment horizontal="right" inden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44" fontId="0" fillId="0" borderId="0" xfId="1" applyFont="1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9" fontId="0" fillId="0" borderId="19" xfId="0" applyNumberFormat="1" applyBorder="1" applyAlignment="1" applyProtection="1">
      <alignment horizontal="center"/>
      <protection hidden="1"/>
    </xf>
    <xf numFmtId="0" fontId="8" fillId="0" borderId="18" xfId="0" applyFont="1" applyBorder="1" applyAlignment="1" applyProtection="1">
      <alignment vertical="center"/>
      <protection hidden="1"/>
    </xf>
    <xf numFmtId="0" fontId="8" fillId="0" borderId="19" xfId="0" applyFont="1" applyBorder="1" applyAlignment="1" applyProtection="1">
      <alignment vertical="center"/>
      <protection hidden="1"/>
    </xf>
    <xf numFmtId="0" fontId="8" fillId="0" borderId="19" xfId="0" applyFont="1" applyBorder="1" applyAlignment="1" applyProtection="1">
      <alignment horizontal="center" vertical="center"/>
      <protection hidden="1"/>
    </xf>
    <xf numFmtId="0" fontId="0" fillId="3" borderId="4" xfId="0" applyFill="1" applyBorder="1" applyProtection="1">
      <protection hidden="1"/>
    </xf>
    <xf numFmtId="0" fontId="0" fillId="3" borderId="7" xfId="0" applyFill="1" applyBorder="1" applyProtection="1">
      <protection hidden="1"/>
    </xf>
    <xf numFmtId="0" fontId="0" fillId="0" borderId="0" xfId="0" applyAlignment="1" applyProtection="1">
      <alignment horizontal="left" vertical="top" wrapText="1"/>
      <protection hidden="1"/>
    </xf>
    <xf numFmtId="0" fontId="0" fillId="0" borderId="23" xfId="0" applyBorder="1" applyProtection="1">
      <protection hidden="1"/>
    </xf>
    <xf numFmtId="0" fontId="10" fillId="2" borderId="0" xfId="0" applyFont="1" applyFill="1" applyAlignment="1" applyProtection="1">
      <alignment vertical="center"/>
      <protection locked="0" hidden="1"/>
    </xf>
    <xf numFmtId="0" fontId="0" fillId="0" borderId="25" xfId="0" applyBorder="1" applyProtection="1">
      <protection hidden="1"/>
    </xf>
    <xf numFmtId="0" fontId="0" fillId="0" borderId="26" xfId="0" applyBorder="1" applyProtection="1">
      <protection hidden="1"/>
    </xf>
    <xf numFmtId="0" fontId="5" fillId="0" borderId="28" xfId="0" applyFont="1" applyBorder="1" applyProtection="1">
      <protection hidden="1"/>
    </xf>
    <xf numFmtId="0" fontId="5" fillId="0" borderId="9" xfId="0" applyFont="1" applyBorder="1" applyProtection="1">
      <protection hidden="1"/>
    </xf>
    <xf numFmtId="0" fontId="4" fillId="4" borderId="30" xfId="0" applyFont="1" applyFill="1" applyBorder="1" applyAlignment="1" applyProtection="1">
      <alignment horizontal="right" indent="1"/>
    </xf>
    <xf numFmtId="9" fontId="7" fillId="0" borderId="17" xfId="2" applyFont="1" applyBorder="1" applyAlignment="1">
      <alignment horizontal="center"/>
    </xf>
    <xf numFmtId="44" fontId="0" fillId="0" borderId="31" xfId="0" applyNumberFormat="1" applyBorder="1" applyAlignment="1">
      <alignment horizontal="right" indent="1"/>
    </xf>
    <xf numFmtId="9" fontId="7" fillId="0" borderId="0" xfId="2" applyFont="1" applyBorder="1" applyAlignment="1" applyProtection="1">
      <alignment horizontal="center"/>
      <protection hidden="1"/>
    </xf>
    <xf numFmtId="44" fontId="0" fillId="0" borderId="0" xfId="0" applyNumberFormat="1" applyAlignment="1" applyProtection="1">
      <alignment horizontal="right" indent="1"/>
      <protection hidden="1"/>
    </xf>
    <xf numFmtId="44" fontId="0" fillId="0" borderId="32" xfId="0" applyNumberFormat="1" applyBorder="1" applyProtection="1">
      <protection hidden="1"/>
    </xf>
    <xf numFmtId="0" fontId="0" fillId="3" borderId="21" xfId="0" applyFill="1" applyBorder="1" applyProtection="1">
      <protection hidden="1"/>
    </xf>
    <xf numFmtId="0" fontId="0" fillId="0" borderId="33" xfId="0" applyBorder="1" applyProtection="1"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166" fontId="0" fillId="3" borderId="7" xfId="0" applyNumberFormat="1" applyFill="1" applyBorder="1" applyAlignment="1" applyProtection="1">
      <alignment horizontal="center" vertical="center"/>
      <protection hidden="1"/>
    </xf>
    <xf numFmtId="0" fontId="4" fillId="5" borderId="10" xfId="0" applyFont="1" applyFill="1" applyBorder="1" applyAlignment="1" applyProtection="1">
      <alignment horizontal="left"/>
      <protection hidden="1"/>
    </xf>
    <xf numFmtId="0" fontId="4" fillId="5" borderId="11" xfId="0" applyFont="1" applyFill="1" applyBorder="1" applyAlignment="1" applyProtection="1">
      <alignment horizontal="left"/>
      <protection hidden="1"/>
    </xf>
    <xf numFmtId="0" fontId="4" fillId="0" borderId="1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11" xfId="0" applyFont="1" applyBorder="1" applyProtection="1">
      <protection hidden="1"/>
    </xf>
    <xf numFmtId="0" fontId="0" fillId="0" borderId="12" xfId="0" applyBorder="1" applyAlignment="1" applyProtection="1">
      <alignment horizontal="left"/>
      <protection hidden="1"/>
    </xf>
    <xf numFmtId="0" fontId="0" fillId="0" borderId="13" xfId="0" applyBorder="1" applyAlignment="1" applyProtection="1">
      <alignment horizontal="left"/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29" xfId="0" applyBorder="1" applyProtection="1">
      <protection hidden="1"/>
    </xf>
    <xf numFmtId="44" fontId="11" fillId="3" borderId="19" xfId="0" applyNumberFormat="1" applyFont="1" applyFill="1" applyBorder="1" applyAlignment="1" applyProtection="1">
      <alignment horizontal="right" vertical="center"/>
      <protection hidden="1"/>
    </xf>
    <xf numFmtId="44" fontId="11" fillId="3" borderId="32" xfId="0" applyNumberFormat="1" applyFont="1" applyFill="1" applyBorder="1" applyAlignment="1" applyProtection="1">
      <alignment horizontal="right" vertical="center"/>
      <protection hidden="1"/>
    </xf>
    <xf numFmtId="0" fontId="0" fillId="0" borderId="6" xfId="0" applyBorder="1" applyAlignment="1" applyProtection="1">
      <alignment horizontal="left" vertical="top" wrapText="1"/>
      <protection hidden="1"/>
    </xf>
    <xf numFmtId="0" fontId="0" fillId="0" borderId="20" xfId="0" applyBorder="1" applyAlignment="1" applyProtection="1">
      <alignment horizontal="left" vertical="top" wrapText="1"/>
      <protection hidden="1"/>
    </xf>
    <xf numFmtId="0" fontId="0" fillId="0" borderId="22" xfId="0" applyBorder="1" applyAlignment="1" applyProtection="1">
      <alignment horizontal="left" vertical="top" wrapText="1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left" vertical="top"/>
      <protection hidden="1"/>
    </xf>
    <xf numFmtId="0" fontId="0" fillId="0" borderId="7" xfId="0" applyBorder="1" applyAlignment="1" applyProtection="1">
      <alignment horizontal="left" vertical="top"/>
      <protection hidden="1"/>
    </xf>
    <xf numFmtId="0" fontId="0" fillId="0" borderId="21" xfId="0" applyBorder="1" applyAlignment="1" applyProtection="1">
      <alignment horizontal="left" vertical="top"/>
      <protection hidden="1"/>
    </xf>
    <xf numFmtId="0" fontId="0" fillId="0" borderId="6" xfId="0" applyBorder="1" applyAlignment="1" applyProtection="1">
      <alignment horizontal="left" vertical="top"/>
      <protection hidden="1"/>
    </xf>
    <xf numFmtId="0" fontId="0" fillId="0" borderId="20" xfId="0" applyBorder="1" applyAlignment="1" applyProtection="1">
      <alignment horizontal="left" vertical="top"/>
      <protection hidden="1"/>
    </xf>
    <xf numFmtId="0" fontId="0" fillId="0" borderId="22" xfId="0" applyBorder="1" applyAlignment="1" applyProtection="1">
      <alignment horizontal="left" vertical="top"/>
      <protection hidden="1"/>
    </xf>
    <xf numFmtId="0" fontId="4" fillId="4" borderId="4" xfId="0" applyFont="1" applyFill="1" applyBorder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horizontal="center" vertical="center"/>
      <protection hidden="1"/>
    </xf>
    <xf numFmtId="0" fontId="4" fillId="4" borderId="21" xfId="0" applyFont="1" applyFill="1" applyBorder="1" applyAlignment="1" applyProtection="1">
      <alignment horizontal="center" vertical="center"/>
      <protection hidden="1"/>
    </xf>
    <xf numFmtId="0" fontId="4" fillId="4" borderId="5" xfId="0" applyFont="1" applyFill="1" applyBorder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horizontal="center" vertical="center"/>
      <protection hidden="1"/>
    </xf>
    <xf numFmtId="0" fontId="4" fillId="4" borderId="27" xfId="0" applyFont="1" applyFill="1" applyBorder="1" applyAlignment="1" applyProtection="1">
      <alignment horizontal="center" vertical="center"/>
      <protection hidden="1"/>
    </xf>
    <xf numFmtId="0" fontId="4" fillId="4" borderId="6" xfId="0" applyFont="1" applyFill="1" applyBorder="1" applyAlignment="1" applyProtection="1">
      <alignment horizontal="center" vertical="center"/>
      <protection hidden="1"/>
    </xf>
    <xf numFmtId="0" fontId="4" fillId="4" borderId="20" xfId="0" applyFont="1" applyFill="1" applyBorder="1" applyAlignment="1" applyProtection="1">
      <alignment horizontal="center" vertical="center"/>
      <protection hidden="1"/>
    </xf>
    <xf numFmtId="0" fontId="4" fillId="4" borderId="22" xfId="0" applyFont="1" applyFill="1" applyBorder="1" applyAlignment="1" applyProtection="1">
      <alignment horizontal="center" vertical="center"/>
      <protection hidden="1"/>
    </xf>
  </cellXfs>
  <cellStyles count="3">
    <cellStyle name="Currency" xfId="1" builtinId="4"/>
    <cellStyle name="Normal" xfId="0" builtinId="0"/>
    <cellStyle name="Percent" xfId="2" builtinId="5"/>
  </cellStyles>
  <dxfs count="8">
    <dxf>
      <font>
        <b val="0"/>
        <i val="0"/>
        <strike val="0"/>
        <u val="none"/>
        <sz val="11"/>
        <color theme="1"/>
        <name val="Arial"/>
        <family val="2"/>
        <scheme val="none"/>
      </font>
      <alignment horizontal="center"/>
    </dxf>
    <dxf>
      <alignment horizontal="center"/>
    </dxf>
    <dxf>
      <font>
        <b val="0"/>
        <i val="0"/>
        <strike val="0"/>
        <u val="none"/>
        <sz val="11"/>
        <color theme="1"/>
        <name val="Arial"/>
        <family val="2"/>
        <scheme val="none"/>
      </font>
      <alignment horizontal="center"/>
    </dxf>
    <dxf>
      <alignment horizontal="center"/>
    </dxf>
    <dxf>
      <numFmt numFmtId="167" formatCode=";;;"/>
    </dxf>
    <dxf>
      <font>
        <color theme="1" tint="0.499984740745262"/>
      </font>
    </dxf>
    <dxf>
      <font>
        <strike/>
        <color theme="5" tint="-0.24994659260841701"/>
      </font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4640" y="1289685"/>
          <a:ext cx="2201545" cy="54864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Your logo here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2667000</xdr:colOff>
          <xdr:row>2</xdr:row>
          <xdr:rowOff>129540</xdr:rowOff>
        </xdr:from>
        <xdr:to>
          <xdr:col>13</xdr:col>
          <xdr:colOff>76200</xdr:colOff>
          <xdr:row>7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2</xdr:row>
          <xdr:rowOff>121920</xdr:rowOff>
        </xdr:from>
        <xdr:to>
          <xdr:col>12</xdr:col>
          <xdr:colOff>2659380</xdr:colOff>
          <xdr:row>7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Order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121920</xdr:colOff>
          <xdr:row>11</xdr:row>
          <xdr:rowOff>137160</xdr:rowOff>
        </xdr:from>
        <xdr:to>
          <xdr:col>13</xdr:col>
          <xdr:colOff>68580</xdr:colOff>
          <xdr:row>14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Finish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7</xdr:row>
          <xdr:rowOff>129540</xdr:rowOff>
        </xdr:from>
        <xdr:to>
          <xdr:col>12</xdr:col>
          <xdr:colOff>2667000</xdr:colOff>
          <xdr:row>11</xdr:row>
          <xdr:rowOff>129540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Clear the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2667000</xdr:colOff>
          <xdr:row>7</xdr:row>
          <xdr:rowOff>152400</xdr:rowOff>
        </xdr:from>
        <xdr:to>
          <xdr:col>13</xdr:col>
          <xdr:colOff>83820</xdr:colOff>
          <xdr:row>11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New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640080</xdr:colOff>
          <xdr:row>2</xdr:row>
          <xdr:rowOff>137160</xdr:rowOff>
        </xdr:from>
        <xdr:to>
          <xdr:col>15</xdr:col>
          <xdr:colOff>396240</xdr:colOff>
          <xdr:row>9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Button 22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1</xdr:row>
          <xdr:rowOff>68580</xdr:rowOff>
        </xdr:from>
        <xdr:to>
          <xdr:col>8</xdr:col>
          <xdr:colOff>381000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New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1</xdr:row>
          <xdr:rowOff>68580</xdr:rowOff>
        </xdr:from>
        <xdr:to>
          <xdr:col>8</xdr:col>
          <xdr:colOff>381000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New Item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roducts3" displayName="products3" ref="B3:F23" totalsRowShown="0">
  <autoFilter ref="B3:F23" xr:uid="{00000000-0009-0000-0100-000002000000}"/>
  <tableColumns count="5">
    <tableColumn id="1" xr3:uid="{00000000-0010-0000-0000-000001000000}" name="ID"/>
    <tableColumn id="2" xr3:uid="{00000000-0010-0000-0000-000002000000}" name="Name"/>
    <tableColumn id="9" xr3:uid="{00000000-0010-0000-0000-000009000000}" name="Avaluable"/>
    <tableColumn id="8" xr3:uid="{00000000-0010-0000-0000-000008000000}" name="Used" dataDxfId="3"/>
    <tableColumn id="7" xr3:uid="{00000000-0010-0000-0000-000007000000}" name="Unit Cost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ducts" displayName="products" ref="B3:F23" totalsRowShown="0">
  <autoFilter ref="B3:F23" xr:uid="{00000000-0009-0000-0100-000001000000}"/>
  <tableColumns count="5">
    <tableColumn id="1" xr3:uid="{00000000-0010-0000-0100-000001000000}" name="ID"/>
    <tableColumn id="2" xr3:uid="{00000000-0010-0000-0100-000002000000}" name="Name"/>
    <tableColumn id="9" xr3:uid="{00000000-0010-0000-0100-000009000000}" name="Avaluable"/>
    <tableColumn id="8" xr3:uid="{00000000-0010-0000-0100-000008000000}" name="Used" dataDxfId="1"/>
    <tableColumn id="7" xr3:uid="{00000000-0010-0000-0100-000007000000}" name="Unit Cost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 /><Relationship Id="rId3" Type="http://schemas.openxmlformats.org/officeDocument/2006/relationships/ctrlProp" Target="../ctrlProps/ctrlProp1.xml" /><Relationship Id="rId7" Type="http://schemas.openxmlformats.org/officeDocument/2006/relationships/ctrlProp" Target="../ctrlProps/ctrlProp5.xml" /><Relationship Id="rId2" Type="http://schemas.openxmlformats.org/officeDocument/2006/relationships/vmlDrawing" Target="../drawings/vmlDrawing1.vml" /><Relationship Id="rId1" Type="http://schemas.openxmlformats.org/officeDocument/2006/relationships/drawing" Target="../drawings/drawing1.xml" /><Relationship Id="rId6" Type="http://schemas.openxmlformats.org/officeDocument/2006/relationships/ctrlProp" Target="../ctrlProps/ctrlProp4.xml" /><Relationship Id="rId5" Type="http://schemas.openxmlformats.org/officeDocument/2006/relationships/ctrlProp" Target="../ctrlProps/ctrlProp3.xml" /><Relationship Id="rId4" Type="http://schemas.openxmlformats.org/officeDocument/2006/relationships/ctrlProp" Target="../ctrlProps/ctrlProp2.xml" /><Relationship Id="rId9" Type="http://schemas.openxmlformats.org/officeDocument/2006/relationships/comments" Target="../comments1.xml" 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 /><Relationship Id="rId2" Type="http://schemas.openxmlformats.org/officeDocument/2006/relationships/vmlDrawing" Target="../drawings/vmlDrawing2.vml" /><Relationship Id="rId1" Type="http://schemas.openxmlformats.org/officeDocument/2006/relationships/drawing" Target="../drawings/drawing2.xml" /><Relationship Id="rId4" Type="http://schemas.openxmlformats.org/officeDocument/2006/relationships/table" Target="../tables/table1.xml" 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 /><Relationship Id="rId2" Type="http://schemas.openxmlformats.org/officeDocument/2006/relationships/vmlDrawing" Target="../drawings/vmlDrawing3.vml" /><Relationship Id="rId1" Type="http://schemas.openxmlformats.org/officeDocument/2006/relationships/drawing" Target="../drawings/drawing3.xml" /><Relationship Id="rId4" Type="http://schemas.openxmlformats.org/officeDocument/2006/relationships/table" Target="../tables/table2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M33"/>
  <sheetViews>
    <sheetView showGridLines="0" tabSelected="1" topLeftCell="AO1" zoomScale="87" zoomScaleNormal="87" workbookViewId="0">
      <selection activeCell="M22" sqref="M22"/>
    </sheetView>
  </sheetViews>
  <sheetFormatPr defaultColWidth="8.7421875" defaultRowHeight="15" x14ac:dyDescent="0.2"/>
  <cols>
    <col min="1" max="1" width="2.015625" style="7" customWidth="1"/>
    <col min="2" max="2" width="2.28515625" style="7" customWidth="1"/>
    <col min="3" max="3" width="6.45703125" style="7" customWidth="1"/>
    <col min="4" max="4" width="25.69140625" style="7" customWidth="1"/>
    <col min="5" max="7" width="8.7421875" style="7"/>
    <col min="8" max="9" width="10.76171875" style="7" customWidth="1"/>
    <col min="10" max="10" width="13.98828125" style="7" customWidth="1"/>
    <col min="11" max="11" width="2.28515625" style="7" customWidth="1"/>
    <col min="12" max="12" width="8.7421875" style="8"/>
    <col min="13" max="13" width="68.73828125" style="7" customWidth="1"/>
    <col min="14" max="16384" width="8.7421875" style="7"/>
  </cols>
  <sheetData>
    <row r="1" spans="2:13" s="6" customFormat="1" ht="37.5" customHeight="1" x14ac:dyDescent="0.2">
      <c r="C1" s="6" t="s">
        <v>0</v>
      </c>
      <c r="L1" s="39"/>
    </row>
    <row r="3" spans="2:13" ht="12" customHeight="1" x14ac:dyDescent="0.2">
      <c r="B3" s="9"/>
      <c r="C3" s="10"/>
      <c r="D3" s="10"/>
      <c r="E3" s="10"/>
      <c r="F3" s="10"/>
      <c r="G3" s="10"/>
      <c r="H3" s="10"/>
      <c r="I3" s="10"/>
      <c r="J3" s="10"/>
      <c r="K3" s="40"/>
    </row>
    <row r="4" spans="2:13" ht="22.5" customHeight="1" x14ac:dyDescent="0.2">
      <c r="B4" s="11"/>
      <c r="C4" s="52" t="s">
        <v>1</v>
      </c>
      <c r="D4" s="52"/>
      <c r="E4" s="52"/>
      <c r="F4" s="52"/>
      <c r="G4" s="52"/>
      <c r="H4" s="52"/>
      <c r="I4" s="52"/>
      <c r="J4" s="52"/>
      <c r="K4" s="41"/>
    </row>
    <row r="5" spans="2:13" x14ac:dyDescent="0.2">
      <c r="B5" s="11"/>
      <c r="C5" s="12"/>
      <c r="D5" s="12"/>
      <c r="E5" s="12"/>
      <c r="F5" s="12"/>
      <c r="G5" s="12"/>
      <c r="H5" s="12"/>
      <c r="I5" s="12"/>
      <c r="J5" s="12"/>
      <c r="K5" s="41"/>
    </row>
    <row r="6" spans="2:13" x14ac:dyDescent="0.2">
      <c r="B6" s="11"/>
      <c r="C6" s="12"/>
      <c r="D6" s="12"/>
      <c r="E6" s="12"/>
      <c r="F6" s="12"/>
      <c r="G6" s="12"/>
      <c r="H6" s="76" t="s">
        <v>2</v>
      </c>
      <c r="I6" s="77"/>
      <c r="J6" s="78"/>
      <c r="K6" s="41"/>
    </row>
    <row r="7" spans="2:13" x14ac:dyDescent="0.2">
      <c r="B7" s="11"/>
      <c r="C7" s="12"/>
      <c r="D7" s="12"/>
      <c r="E7" s="12"/>
      <c r="F7" s="12"/>
      <c r="G7" s="12"/>
      <c r="H7" s="79"/>
      <c r="I7" s="80"/>
      <c r="J7" s="81"/>
      <c r="K7" s="41"/>
    </row>
    <row r="8" spans="2:13" x14ac:dyDescent="0.2">
      <c r="B8" s="11"/>
      <c r="C8" s="12"/>
      <c r="D8" s="12"/>
      <c r="E8" s="12"/>
      <c r="F8" s="12"/>
      <c r="G8" s="12"/>
      <c r="H8" s="82"/>
      <c r="I8" s="83"/>
      <c r="J8" s="84"/>
      <c r="K8" s="41"/>
    </row>
    <row r="9" spans="2:13" x14ac:dyDescent="0.2">
      <c r="B9" s="11"/>
      <c r="C9" s="12"/>
      <c r="D9" s="12"/>
      <c r="E9" s="12"/>
      <c r="F9" s="12"/>
      <c r="G9" s="12"/>
      <c r="H9" s="53">
        <f ca="1">NOW()</f>
        <v>45448.703772106484</v>
      </c>
      <c r="I9" s="53"/>
      <c r="J9" s="53"/>
      <c r="K9" s="41"/>
    </row>
    <row r="10" spans="2:13" x14ac:dyDescent="0.2">
      <c r="B10" s="11"/>
      <c r="C10" s="12"/>
      <c r="D10" s="12"/>
      <c r="E10" s="12"/>
      <c r="F10" s="12"/>
      <c r="G10" s="12"/>
      <c r="H10" s="12"/>
      <c r="I10" s="12"/>
      <c r="J10" s="12"/>
      <c r="K10" s="41"/>
    </row>
    <row r="11" spans="2:13" x14ac:dyDescent="0.2">
      <c r="B11" s="11"/>
      <c r="C11" s="13" t="s">
        <v>3</v>
      </c>
      <c r="D11" s="14"/>
      <c r="E11" s="12"/>
      <c r="F11" s="12"/>
      <c r="G11" s="12"/>
      <c r="H11" s="15" t="s">
        <v>4</v>
      </c>
      <c r="I11" s="42"/>
      <c r="J11" s="43"/>
      <c r="K11" s="41"/>
    </row>
    <row r="12" spans="2:13" x14ac:dyDescent="0.2">
      <c r="B12" s="11"/>
      <c r="C12" s="54" t="s">
        <v>5</v>
      </c>
      <c r="D12" s="55"/>
      <c r="E12" s="12"/>
      <c r="F12" s="12"/>
      <c r="G12" s="12"/>
      <c r="H12" s="56"/>
      <c r="I12" s="57"/>
      <c r="J12" s="58"/>
      <c r="K12" s="41"/>
    </row>
    <row r="13" spans="2:13" x14ac:dyDescent="0.2">
      <c r="B13" s="11"/>
      <c r="C13" s="54" t="s">
        <v>6</v>
      </c>
      <c r="D13" s="55"/>
      <c r="E13" s="12"/>
      <c r="F13" s="12"/>
      <c r="G13" s="12"/>
      <c r="H13" s="56"/>
      <c r="I13" s="57"/>
      <c r="J13" s="58"/>
      <c r="K13" s="41"/>
    </row>
    <row r="14" spans="2:13" x14ac:dyDescent="0.2">
      <c r="B14" s="11"/>
      <c r="C14" s="54" t="s">
        <v>7</v>
      </c>
      <c r="D14" s="55"/>
      <c r="E14" s="12"/>
      <c r="F14" s="12"/>
      <c r="G14" s="12"/>
      <c r="H14" s="56"/>
      <c r="I14" s="57"/>
      <c r="J14" s="58"/>
      <c r="K14" s="41"/>
      <c r="M14" s="7">
        <v>14</v>
      </c>
    </row>
    <row r="15" spans="2:13" x14ac:dyDescent="0.2">
      <c r="B15" s="11"/>
      <c r="C15" s="59">
        <v>0</v>
      </c>
      <c r="D15" s="60"/>
      <c r="E15" s="12"/>
      <c r="F15" s="12"/>
      <c r="G15" s="12"/>
      <c r="H15" s="61"/>
      <c r="I15" s="62"/>
      <c r="J15" s="63"/>
      <c r="K15" s="41"/>
    </row>
    <row r="16" spans="2:13" x14ac:dyDescent="0.2">
      <c r="B16" s="11"/>
      <c r="C16" s="12"/>
      <c r="D16" s="12"/>
      <c r="E16" s="12"/>
      <c r="F16" s="12"/>
      <c r="G16" s="12"/>
      <c r="H16" s="12"/>
      <c r="I16" s="12"/>
      <c r="J16" s="12"/>
      <c r="K16" s="41"/>
    </row>
    <row r="17" spans="2:11" x14ac:dyDescent="0.2">
      <c r="B17" s="11"/>
      <c r="C17" s="12"/>
      <c r="D17" s="12"/>
      <c r="E17" s="12"/>
      <c r="F17" s="12"/>
      <c r="G17" s="12"/>
      <c r="H17" s="12"/>
      <c r="I17" s="12"/>
      <c r="J17" s="12"/>
      <c r="K17" s="41"/>
    </row>
    <row r="18" spans="2:11" x14ac:dyDescent="0.2">
      <c r="B18" s="11"/>
      <c r="C18" s="16" t="s">
        <v>8</v>
      </c>
      <c r="D18" s="17" t="s">
        <v>9</v>
      </c>
      <c r="E18" s="17"/>
      <c r="F18" s="17"/>
      <c r="G18" s="18" t="s">
        <v>10</v>
      </c>
      <c r="H18" s="19" t="s">
        <v>11</v>
      </c>
      <c r="I18" s="19" t="s">
        <v>12</v>
      </c>
      <c r="J18" s="44" t="s">
        <v>13</v>
      </c>
      <c r="K18" s="41"/>
    </row>
    <row r="19" spans="2:11" x14ac:dyDescent="0.2">
      <c r="B19" s="11"/>
      <c r="C19" s="20">
        <v>1</v>
      </c>
      <c r="D19" s="21"/>
      <c r="E19" s="21"/>
      <c r="F19" s="22" t="str">
        <f>IF(COUNTIF($D$19:D19,D19)&gt;1,2,"")</f>
        <v/>
      </c>
      <c r="G19" s="23"/>
      <c r="H19" s="24" t="str">
        <f>IFERROR(VLOOKUP(D19,products[[Name]:[Unit Cost]],4,FALSE),"")</f>
        <v/>
      </c>
      <c r="I19" s="45"/>
      <c r="J19" s="46">
        <f t="shared" ref="J19" si="0">IFERROR((1-I19)*H19*G19,0)</f>
        <v>0</v>
      </c>
      <c r="K19" s="41"/>
    </row>
    <row r="20" spans="2:11" x14ac:dyDescent="0.2">
      <c r="B20" s="11"/>
      <c r="C20" s="20"/>
      <c r="D20" s="21"/>
      <c r="E20" s="21"/>
      <c r="F20" s="22" t="str">
        <f>IF(COUNTIF($D$19:D20,D20)&gt;1,2,"")</f>
        <v/>
      </c>
      <c r="G20" s="23"/>
      <c r="H20" s="24"/>
      <c r="I20" s="45"/>
      <c r="J20" s="46"/>
      <c r="K20" s="41"/>
    </row>
    <row r="21" spans="2:11" x14ac:dyDescent="0.2">
      <c r="B21" s="11"/>
      <c r="C21" s="25"/>
      <c r="D21" s="12"/>
      <c r="E21" s="12"/>
      <c r="F21" s="26"/>
      <c r="G21" s="27"/>
      <c r="H21" s="28"/>
      <c r="I21" s="47"/>
      <c r="J21" s="48">
        <f>SUM(J19:J20)</f>
        <v>0</v>
      </c>
      <c r="K21" s="41"/>
    </row>
    <row r="22" spans="2:11" x14ac:dyDescent="0.2">
      <c r="B22" s="11"/>
      <c r="C22" s="12"/>
      <c r="D22" s="12"/>
      <c r="E22" s="12"/>
      <c r="F22" s="12"/>
      <c r="G22" s="12"/>
      <c r="H22" s="12"/>
      <c r="I22" s="12"/>
      <c r="J22" s="12"/>
      <c r="K22" s="41"/>
    </row>
    <row r="23" spans="2:11" x14ac:dyDescent="0.2">
      <c r="B23" s="11"/>
      <c r="C23" s="29"/>
      <c r="D23" s="30" t="s">
        <v>14</v>
      </c>
      <c r="E23" s="30"/>
      <c r="F23" s="30"/>
      <c r="G23" s="31">
        <v>0.1</v>
      </c>
      <c r="H23" s="30"/>
      <c r="I23" s="30"/>
      <c r="J23" s="49">
        <f>G23*J21</f>
        <v>0</v>
      </c>
      <c r="K23" s="41"/>
    </row>
    <row r="24" spans="2:11" x14ac:dyDescent="0.2">
      <c r="B24" s="11"/>
      <c r="C24" s="12"/>
      <c r="D24" s="12"/>
      <c r="E24" s="12"/>
      <c r="F24" s="12"/>
      <c r="G24" s="12"/>
      <c r="H24" s="12"/>
      <c r="I24" s="12"/>
      <c r="J24" s="12"/>
      <c r="K24" s="41"/>
    </row>
    <row r="25" spans="2:11" ht="27" customHeight="1" x14ac:dyDescent="0.2">
      <c r="B25" s="11"/>
      <c r="C25" s="32"/>
      <c r="D25" s="33" t="s">
        <v>13</v>
      </c>
      <c r="E25" s="33"/>
      <c r="F25" s="33"/>
      <c r="G25" s="34">
        <f>SUM(G19:G20)</f>
        <v>0</v>
      </c>
      <c r="H25" s="33"/>
      <c r="I25" s="64">
        <f>J21+J23</f>
        <v>0</v>
      </c>
      <c r="J25" s="65"/>
      <c r="K25" s="41"/>
    </row>
    <row r="26" spans="2:11" x14ac:dyDescent="0.2">
      <c r="B26" s="11"/>
      <c r="C26" s="12"/>
      <c r="D26" s="12"/>
      <c r="E26" s="12"/>
      <c r="F26" s="12"/>
      <c r="G26" s="12"/>
      <c r="H26" s="12"/>
      <c r="I26" s="12"/>
      <c r="J26" s="12"/>
      <c r="K26" s="41"/>
    </row>
    <row r="27" spans="2:11" x14ac:dyDescent="0.2">
      <c r="B27" s="11"/>
      <c r="C27" s="35" t="s">
        <v>15</v>
      </c>
      <c r="D27" s="36"/>
      <c r="E27" s="36"/>
      <c r="F27" s="36"/>
      <c r="G27" s="36"/>
      <c r="H27" s="36"/>
      <c r="I27" s="36"/>
      <c r="J27" s="50"/>
      <c r="K27" s="41"/>
    </row>
    <row r="28" spans="2:11" ht="60" customHeight="1" x14ac:dyDescent="0.2">
      <c r="B28" s="11"/>
      <c r="C28" s="66"/>
      <c r="D28" s="67"/>
      <c r="E28" s="67"/>
      <c r="F28" s="67"/>
      <c r="G28" s="67"/>
      <c r="H28" s="67"/>
      <c r="I28" s="67"/>
      <c r="J28" s="68"/>
      <c r="K28" s="41"/>
    </row>
    <row r="29" spans="2:11" x14ac:dyDescent="0.2">
      <c r="B29" s="11"/>
      <c r="C29" s="37"/>
      <c r="D29" s="37"/>
      <c r="E29" s="37"/>
      <c r="F29" s="37"/>
      <c r="G29" s="37"/>
      <c r="H29" s="37"/>
      <c r="I29" s="37"/>
      <c r="J29" s="37"/>
      <c r="K29" s="41"/>
    </row>
    <row r="30" spans="2:11" x14ac:dyDescent="0.2">
      <c r="B30" s="11"/>
      <c r="C30" s="70" t="s">
        <v>16</v>
      </c>
      <c r="D30" s="71"/>
      <c r="E30" s="72"/>
      <c r="F30" s="37"/>
      <c r="G30" s="37"/>
      <c r="H30" s="37"/>
      <c r="I30" s="37"/>
      <c r="J30" s="37"/>
      <c r="K30" s="41"/>
    </row>
    <row r="31" spans="2:11" ht="22.5" customHeight="1" x14ac:dyDescent="0.2">
      <c r="B31" s="11"/>
      <c r="C31" s="73"/>
      <c r="D31" s="74"/>
      <c r="E31" s="75"/>
      <c r="F31" s="37"/>
      <c r="G31" s="37"/>
      <c r="H31" s="37"/>
      <c r="I31" s="37"/>
      <c r="J31" s="37"/>
      <c r="K31" s="41"/>
    </row>
    <row r="32" spans="2:11" ht="22.5" customHeight="1" x14ac:dyDescent="0.2">
      <c r="B32" s="11"/>
      <c r="C32" s="12"/>
      <c r="D32" s="37"/>
      <c r="E32" s="37"/>
      <c r="F32" s="37"/>
      <c r="G32" s="37"/>
      <c r="H32" s="37"/>
      <c r="I32" s="37"/>
      <c r="J32" s="37"/>
      <c r="K32" s="41"/>
    </row>
    <row r="33" spans="2:11" x14ac:dyDescent="0.2">
      <c r="B33" s="38"/>
      <c r="C33" s="69" t="s">
        <v>17</v>
      </c>
      <c r="D33" s="69"/>
      <c r="E33" s="69"/>
      <c r="F33" s="69"/>
      <c r="G33" s="69"/>
      <c r="H33" s="69"/>
      <c r="I33" s="69"/>
      <c r="J33" s="69"/>
      <c r="K33" s="51"/>
    </row>
  </sheetData>
  <sheetProtection algorithmName="SHA-512" hashValue="5NPL4NeNqVphCkEahiP4qApFVXlpzKiUxqlzANPhfUB0gtNgu0WwhRsFflACbRwhj9/OYe/XUDBLzY+FExsdkw==" saltValue="cFtz5jPXfSjwQaH1Zcnw/w==" spinCount="100000" sheet="1" objects="1" scenarios="1" selectLockedCells="1" selectUnlockedCells="1"/>
  <mergeCells count="15">
    <mergeCell ref="C28:J28"/>
    <mergeCell ref="C33:J33"/>
    <mergeCell ref="C30:E31"/>
    <mergeCell ref="H6:J8"/>
    <mergeCell ref="C14:D14"/>
    <mergeCell ref="H14:J14"/>
    <mergeCell ref="C15:D15"/>
    <mergeCell ref="H15:J15"/>
    <mergeCell ref="I25:J25"/>
    <mergeCell ref="C4:J4"/>
    <mergeCell ref="H9:J9"/>
    <mergeCell ref="C12:D12"/>
    <mergeCell ref="H12:J12"/>
    <mergeCell ref="C13:D13"/>
    <mergeCell ref="H13:J13"/>
  </mergeCells>
  <conditionalFormatting sqref="C19:J20">
    <cfRule type="expression" dxfId="7" priority="2">
      <formula>MOD($C19,2)=1</formula>
    </cfRule>
    <cfRule type="expression" dxfId="6" priority="3">
      <formula>$F19&lt;&gt;""</formula>
    </cfRule>
  </conditionalFormatting>
  <conditionalFormatting sqref="D19:E20">
    <cfRule type="expression" dxfId="5" priority="1">
      <formula>LEN($G19)=0</formula>
    </cfRule>
  </conditionalFormatting>
  <conditionalFormatting sqref="J19:J20 H19:H20">
    <cfRule type="expression" dxfId="4" priority="4">
      <formula>NOT($G19&gt;0)</formula>
    </cfRule>
  </conditionalFormatting>
  <dataValidations count="1">
    <dataValidation type="list" allowBlank="1" showInputMessage="1" showErrorMessage="1" sqref="D19:D21" xr:uid="{00000000-0002-0000-0000-000000000000}">
      <formula1>product.list</formula1>
    </dataValidation>
  </dataValidations>
  <pageMargins left="0.7" right="0.7" top="0.75" bottom="0.75" header="0.3" footer="0.3"/>
  <pageSetup scale="84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macro="[0]!ExtractPDF">
                <anchor moveWithCells="1" sizeWithCells="1">
                  <from>
                    <xdr:col>12</xdr:col>
                    <xdr:colOff>2667000</xdr:colOff>
                    <xdr:row>2</xdr:row>
                    <xdr:rowOff>129540</xdr:rowOff>
                  </from>
                  <to>
                    <xdr:col>13</xdr:col>
                    <xdr:colOff>76200</xdr:colOff>
                    <xdr:row>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macro="[0]!InsertRowAfterLastUsedRow">
                <anchor moveWithCells="1" sizeWithCells="1">
                  <from>
                    <xdr:col>12</xdr:col>
                    <xdr:colOff>137160</xdr:colOff>
                    <xdr:row>2</xdr:row>
                    <xdr:rowOff>121920</xdr:rowOff>
                  </from>
                  <to>
                    <xdr:col>12</xdr:col>
                    <xdr:colOff>2659380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macro="[0]!Finish_the_work">
                <anchor moveWithCells="1" sizeWithCells="1">
                  <from>
                    <xdr:col>12</xdr:col>
                    <xdr:colOff>121920</xdr:colOff>
                    <xdr:row>11</xdr:row>
                    <xdr:rowOff>137160</xdr:rowOff>
                  </from>
                  <to>
                    <xdr:col>13</xdr:col>
                    <xdr:colOff>68580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macro="[0]!clear">
                <anchor moveWithCells="1" sizeWithCells="1">
                  <from>
                    <xdr:col>12</xdr:col>
                    <xdr:colOff>129540</xdr:colOff>
                    <xdr:row>7</xdr:row>
                    <xdr:rowOff>129540</xdr:rowOff>
                  </from>
                  <to>
                    <xdr:col>12</xdr:col>
                    <xdr:colOff>2667000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macro="[0]!New_User">
                <anchor moveWithCells="1" sizeWithCells="1">
                  <from>
                    <xdr:col>12</xdr:col>
                    <xdr:colOff>2667000</xdr:colOff>
                    <xdr:row>7</xdr:row>
                    <xdr:rowOff>152400</xdr:rowOff>
                  </from>
                  <to>
                    <xdr:col>13</xdr:col>
                    <xdr:colOff>83820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macro="[0]!DeleteOrder">
                <anchor moveWithCells="1" sizeWithCells="1">
                  <from>
                    <xdr:col>13</xdr:col>
                    <xdr:colOff>640080</xdr:colOff>
                    <xdr:row>2</xdr:row>
                    <xdr:rowOff>137160</xdr:rowOff>
                  </from>
                  <to>
                    <xdr:col>15</xdr:col>
                    <xdr:colOff>396240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" id="{AEC3D8D0-F293-4B1B-AAA7-836B8773E13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1</xm:f>
              </x14:cfvo>
              <x14:cfIcon iconSet="NoIcons" iconId="0"/>
              <x14:cfIcon iconSet="NoIcons" iconId="0"/>
              <x14:cfIcon iconSet="3Symbols2" iconId="0"/>
            </x14:iconSet>
          </x14:cfRule>
          <xm:sqref>F19:F20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23"/>
  <sheetViews>
    <sheetView workbookViewId="0">
      <selection activeCell="G14" sqref="G14"/>
    </sheetView>
  </sheetViews>
  <sheetFormatPr defaultColWidth="9.01171875" defaultRowHeight="15" x14ac:dyDescent="0.2"/>
  <cols>
    <col min="1" max="1" width="4.03515625" customWidth="1"/>
    <col min="2" max="2" width="9.55078125" customWidth="1"/>
    <col min="3" max="3" width="38.875" customWidth="1"/>
    <col min="4" max="4" width="11.296875" customWidth="1"/>
    <col min="5" max="5" width="11.296875" style="2" customWidth="1"/>
    <col min="6" max="6" width="8.7421875" style="2"/>
  </cols>
  <sheetData>
    <row r="1" spans="2:6" s="1" customFormat="1" ht="37.5" customHeight="1" x14ac:dyDescent="0.2">
      <c r="B1" s="1" t="s">
        <v>18</v>
      </c>
      <c r="E1" s="3"/>
      <c r="F1" s="3"/>
    </row>
    <row r="3" spans="2:6" x14ac:dyDescent="0.2">
      <c r="B3" t="s">
        <v>19</v>
      </c>
      <c r="C3" t="s">
        <v>20</v>
      </c>
      <c r="D3" t="s">
        <v>21</v>
      </c>
      <c r="E3" s="2" t="s">
        <v>22</v>
      </c>
      <c r="F3" s="2" t="s">
        <v>23</v>
      </c>
    </row>
    <row r="4" spans="2:6" x14ac:dyDescent="0.2">
      <c r="B4" t="s">
        <v>24</v>
      </c>
      <c r="C4" t="s">
        <v>25</v>
      </c>
      <c r="D4">
        <v>200</v>
      </c>
      <c r="F4" s="4">
        <v>489</v>
      </c>
    </row>
    <row r="5" spans="2:6" x14ac:dyDescent="0.2">
      <c r="B5" t="s">
        <v>26</v>
      </c>
      <c r="C5" t="s">
        <v>27</v>
      </c>
      <c r="D5">
        <v>197</v>
      </c>
      <c r="E5" s="2">
        <v>203</v>
      </c>
      <c r="F5" s="4">
        <v>5</v>
      </c>
    </row>
    <row r="6" spans="2:6" x14ac:dyDescent="0.2">
      <c r="B6" t="s">
        <v>28</v>
      </c>
      <c r="C6" t="s">
        <v>29</v>
      </c>
      <c r="D6">
        <v>124</v>
      </c>
      <c r="E6" s="2">
        <v>276</v>
      </c>
      <c r="F6" s="4">
        <v>49</v>
      </c>
    </row>
    <row r="7" spans="2:6" x14ac:dyDescent="0.2">
      <c r="B7" t="s">
        <v>30</v>
      </c>
      <c r="C7" t="s">
        <v>31</v>
      </c>
      <c r="D7">
        <v>0</v>
      </c>
      <c r="E7" s="2">
        <v>200</v>
      </c>
      <c r="F7" s="4">
        <v>44</v>
      </c>
    </row>
    <row r="8" spans="2:6" x14ac:dyDescent="0.2">
      <c r="B8" t="s">
        <v>32</v>
      </c>
      <c r="C8" t="s">
        <v>33</v>
      </c>
      <c r="D8">
        <v>193</v>
      </c>
      <c r="E8" s="2">
        <v>207</v>
      </c>
      <c r="F8" s="4">
        <v>10</v>
      </c>
    </row>
    <row r="9" spans="2:6" x14ac:dyDescent="0.2">
      <c r="B9" t="s">
        <v>34</v>
      </c>
      <c r="C9" t="s">
        <v>35</v>
      </c>
      <c r="D9">
        <v>0</v>
      </c>
      <c r="E9" s="2">
        <v>400</v>
      </c>
      <c r="F9" s="4">
        <v>50</v>
      </c>
    </row>
    <row r="10" spans="2:6" x14ac:dyDescent="0.2">
      <c r="B10" t="s">
        <v>36</v>
      </c>
      <c r="C10" t="s">
        <v>37</v>
      </c>
      <c r="D10">
        <v>0</v>
      </c>
      <c r="E10" s="2">
        <v>200</v>
      </c>
      <c r="F10" s="4">
        <v>476</v>
      </c>
    </row>
    <row r="11" spans="2:6" x14ac:dyDescent="0.2">
      <c r="B11" t="s">
        <v>38</v>
      </c>
      <c r="C11" t="s">
        <v>39</v>
      </c>
      <c r="D11">
        <v>100</v>
      </c>
      <c r="E11" s="2">
        <v>300</v>
      </c>
      <c r="F11" s="4">
        <v>72</v>
      </c>
    </row>
    <row r="12" spans="2:6" x14ac:dyDescent="0.2">
      <c r="B12" t="s">
        <v>40</v>
      </c>
      <c r="C12" t="s">
        <v>41</v>
      </c>
      <c r="D12">
        <v>0</v>
      </c>
      <c r="E12" s="2">
        <v>220</v>
      </c>
      <c r="F12" s="4">
        <v>41</v>
      </c>
    </row>
    <row r="13" spans="2:6" x14ac:dyDescent="0.2">
      <c r="B13" t="s">
        <v>42</v>
      </c>
      <c r="C13" t="s">
        <v>43</v>
      </c>
      <c r="D13">
        <v>200</v>
      </c>
      <c r="F13" s="4">
        <v>94</v>
      </c>
    </row>
    <row r="14" spans="2:6" x14ac:dyDescent="0.2">
      <c r="B14" t="s">
        <v>44</v>
      </c>
      <c r="C14" t="s">
        <v>45</v>
      </c>
      <c r="D14">
        <v>0</v>
      </c>
      <c r="E14" s="2">
        <v>200</v>
      </c>
      <c r="F14" s="4">
        <v>53</v>
      </c>
    </row>
    <row r="15" spans="2:6" x14ac:dyDescent="0.2">
      <c r="B15" t="s">
        <v>46</v>
      </c>
      <c r="C15" t="s">
        <v>47</v>
      </c>
      <c r="D15">
        <v>200</v>
      </c>
      <c r="F15" s="4">
        <v>4</v>
      </c>
    </row>
    <row r="16" spans="2:6" x14ac:dyDescent="0.2">
      <c r="B16" t="s">
        <v>48</v>
      </c>
      <c r="C16" t="s">
        <v>49</v>
      </c>
      <c r="D16">
        <v>200</v>
      </c>
      <c r="F16" s="4">
        <v>46</v>
      </c>
    </row>
    <row r="17" spans="2:6" x14ac:dyDescent="0.2">
      <c r="B17" t="s">
        <v>50</v>
      </c>
      <c r="C17" t="s">
        <v>51</v>
      </c>
      <c r="D17">
        <v>200</v>
      </c>
      <c r="F17" s="4">
        <v>33</v>
      </c>
    </row>
    <row r="18" spans="2:6" x14ac:dyDescent="0.2">
      <c r="B18" t="s">
        <v>52</v>
      </c>
      <c r="C18" t="s">
        <v>53</v>
      </c>
      <c r="D18">
        <v>200</v>
      </c>
      <c r="F18" s="4">
        <v>64</v>
      </c>
    </row>
    <row r="19" spans="2:6" x14ac:dyDescent="0.2">
      <c r="B19" t="s">
        <v>54</v>
      </c>
      <c r="C19" t="s">
        <v>55</v>
      </c>
      <c r="D19">
        <v>200</v>
      </c>
      <c r="F19" s="4">
        <v>260</v>
      </c>
    </row>
    <row r="20" spans="2:6" x14ac:dyDescent="0.2">
      <c r="B20" t="s">
        <v>56</v>
      </c>
      <c r="C20" t="s">
        <v>57</v>
      </c>
      <c r="D20">
        <v>0</v>
      </c>
      <c r="E20" s="2">
        <v>200</v>
      </c>
      <c r="F20" s="5">
        <v>50</v>
      </c>
    </row>
    <row r="21" spans="2:6" x14ac:dyDescent="0.2">
      <c r="B21" t="s">
        <v>56</v>
      </c>
      <c r="C21" t="s">
        <v>58</v>
      </c>
      <c r="D21">
        <v>0</v>
      </c>
      <c r="E21" s="2">
        <v>44</v>
      </c>
      <c r="F21" s="4">
        <v>112</v>
      </c>
    </row>
    <row r="22" spans="2:6" x14ac:dyDescent="0.2">
      <c r="B22" t="s">
        <v>59</v>
      </c>
      <c r="C22">
        <v>100</v>
      </c>
      <c r="D22">
        <v>400</v>
      </c>
      <c r="F22" s="4">
        <v>122</v>
      </c>
    </row>
    <row r="23" spans="2:6" x14ac:dyDescent="0.2">
      <c r="B23" t="s">
        <v>60</v>
      </c>
      <c r="C23" t="s">
        <v>61</v>
      </c>
      <c r="D23">
        <v>100</v>
      </c>
      <c r="F23" s="4">
        <v>100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macro="[0]!InsertRowForProduct">
                <anchor moveWithCells="1" sizeWithCells="1">
                  <from>
                    <xdr:col>6</xdr:col>
                    <xdr:colOff>647700</xdr:colOff>
                    <xdr:row>1</xdr:row>
                    <xdr:rowOff>68580</xdr:rowOff>
                  </from>
                  <to>
                    <xdr:col>8</xdr:col>
                    <xdr:colOff>381000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23"/>
  <sheetViews>
    <sheetView showGridLines="0" zoomScale="85" zoomScaleNormal="85" workbookViewId="0">
      <selection activeCell="M11" sqref="M11"/>
    </sheetView>
  </sheetViews>
  <sheetFormatPr defaultColWidth="9.01171875" defaultRowHeight="15" x14ac:dyDescent="0.2"/>
  <cols>
    <col min="1" max="1" width="4.03515625" customWidth="1"/>
    <col min="2" max="2" width="9.55078125" customWidth="1"/>
    <col min="3" max="3" width="38.875" customWidth="1"/>
    <col min="4" max="4" width="11.296875" customWidth="1"/>
    <col min="5" max="5" width="11.296875" style="2" customWidth="1"/>
    <col min="6" max="6" width="8.7421875" style="2"/>
  </cols>
  <sheetData>
    <row r="1" spans="2:6" s="1" customFormat="1" ht="37.5" customHeight="1" x14ac:dyDescent="0.2">
      <c r="B1" s="1" t="s">
        <v>18</v>
      </c>
      <c r="E1" s="3"/>
      <c r="F1" s="3"/>
    </row>
    <row r="3" spans="2:6" x14ac:dyDescent="0.2">
      <c r="B3" t="s">
        <v>19</v>
      </c>
      <c r="C3" t="s">
        <v>20</v>
      </c>
      <c r="D3" t="s">
        <v>21</v>
      </c>
      <c r="E3" s="2" t="s">
        <v>22</v>
      </c>
      <c r="F3" s="2" t="s">
        <v>23</v>
      </c>
    </row>
    <row r="4" spans="2:6" x14ac:dyDescent="0.2">
      <c r="B4" t="s">
        <v>24</v>
      </c>
      <c r="C4" t="s">
        <v>25</v>
      </c>
      <c r="D4">
        <v>200</v>
      </c>
      <c r="F4" s="4">
        <v>489</v>
      </c>
    </row>
    <row r="5" spans="2:6" x14ac:dyDescent="0.2">
      <c r="B5" t="s">
        <v>26</v>
      </c>
      <c r="C5" t="s">
        <v>27</v>
      </c>
      <c r="D5">
        <v>197</v>
      </c>
      <c r="E5" s="2">
        <v>203</v>
      </c>
      <c r="F5" s="4">
        <v>5</v>
      </c>
    </row>
    <row r="6" spans="2:6" x14ac:dyDescent="0.2">
      <c r="B6" t="s">
        <v>28</v>
      </c>
      <c r="C6" t="s">
        <v>29</v>
      </c>
      <c r="D6">
        <v>124</v>
      </c>
      <c r="E6" s="2">
        <v>276</v>
      </c>
      <c r="F6" s="4">
        <v>49</v>
      </c>
    </row>
    <row r="7" spans="2:6" x14ac:dyDescent="0.2">
      <c r="B7" t="s">
        <v>30</v>
      </c>
      <c r="C7" t="s">
        <v>31</v>
      </c>
      <c r="D7">
        <v>0</v>
      </c>
      <c r="E7" s="2">
        <v>200</v>
      </c>
      <c r="F7" s="4">
        <v>44</v>
      </c>
    </row>
    <row r="8" spans="2:6" x14ac:dyDescent="0.2">
      <c r="B8" t="s">
        <v>32</v>
      </c>
      <c r="C8" t="s">
        <v>33</v>
      </c>
      <c r="D8">
        <v>193</v>
      </c>
      <c r="E8" s="2">
        <v>207</v>
      </c>
      <c r="F8" s="4">
        <v>10</v>
      </c>
    </row>
    <row r="9" spans="2:6" x14ac:dyDescent="0.2">
      <c r="B9" t="s">
        <v>34</v>
      </c>
      <c r="C9" t="s">
        <v>35</v>
      </c>
      <c r="D9">
        <v>0</v>
      </c>
      <c r="E9" s="2">
        <v>400</v>
      </c>
      <c r="F9" s="4">
        <v>50</v>
      </c>
    </row>
    <row r="10" spans="2:6" x14ac:dyDescent="0.2">
      <c r="B10" t="s">
        <v>36</v>
      </c>
      <c r="C10" t="s">
        <v>37</v>
      </c>
      <c r="D10">
        <v>0</v>
      </c>
      <c r="E10" s="2">
        <v>200</v>
      </c>
      <c r="F10" s="4">
        <v>476</v>
      </c>
    </row>
    <row r="11" spans="2:6" x14ac:dyDescent="0.2">
      <c r="B11" t="s">
        <v>38</v>
      </c>
      <c r="C11" t="s">
        <v>39</v>
      </c>
      <c r="D11">
        <v>100</v>
      </c>
      <c r="E11" s="2">
        <v>300</v>
      </c>
      <c r="F11" s="4">
        <v>72</v>
      </c>
    </row>
    <row r="12" spans="2:6" x14ac:dyDescent="0.2">
      <c r="B12" t="s">
        <v>40</v>
      </c>
      <c r="C12" t="s">
        <v>41</v>
      </c>
      <c r="D12">
        <v>0</v>
      </c>
      <c r="E12" s="2">
        <v>220</v>
      </c>
      <c r="F12" s="4">
        <v>41</v>
      </c>
    </row>
    <row r="13" spans="2:6" x14ac:dyDescent="0.2">
      <c r="B13" t="s">
        <v>42</v>
      </c>
      <c r="C13" t="s">
        <v>43</v>
      </c>
      <c r="D13">
        <v>200</v>
      </c>
      <c r="F13" s="4">
        <v>94</v>
      </c>
    </row>
    <row r="14" spans="2:6" x14ac:dyDescent="0.2">
      <c r="B14" t="s">
        <v>44</v>
      </c>
      <c r="C14" t="s">
        <v>45</v>
      </c>
      <c r="D14">
        <v>0</v>
      </c>
      <c r="E14" s="2">
        <v>200</v>
      </c>
      <c r="F14" s="4">
        <v>53</v>
      </c>
    </row>
    <row r="15" spans="2:6" x14ac:dyDescent="0.2">
      <c r="B15" t="s">
        <v>46</v>
      </c>
      <c r="C15" t="s">
        <v>47</v>
      </c>
      <c r="D15">
        <v>200</v>
      </c>
      <c r="F15" s="4">
        <v>4</v>
      </c>
    </row>
    <row r="16" spans="2:6" x14ac:dyDescent="0.2">
      <c r="B16" t="s">
        <v>48</v>
      </c>
      <c r="C16" t="s">
        <v>49</v>
      </c>
      <c r="D16">
        <v>200</v>
      </c>
      <c r="F16" s="4">
        <v>46</v>
      </c>
    </row>
    <row r="17" spans="2:6" x14ac:dyDescent="0.2">
      <c r="B17" t="s">
        <v>50</v>
      </c>
      <c r="C17" t="s">
        <v>51</v>
      </c>
      <c r="D17">
        <v>200</v>
      </c>
      <c r="F17" s="4">
        <v>33</v>
      </c>
    </row>
    <row r="18" spans="2:6" x14ac:dyDescent="0.2">
      <c r="B18" t="s">
        <v>52</v>
      </c>
      <c r="C18" t="s">
        <v>53</v>
      </c>
      <c r="D18">
        <v>200</v>
      </c>
      <c r="F18" s="4">
        <v>64</v>
      </c>
    </row>
    <row r="19" spans="2:6" x14ac:dyDescent="0.2">
      <c r="B19" t="s">
        <v>54</v>
      </c>
      <c r="C19" t="s">
        <v>55</v>
      </c>
      <c r="D19">
        <v>200</v>
      </c>
      <c r="F19" s="4">
        <v>260</v>
      </c>
    </row>
    <row r="20" spans="2:6" x14ac:dyDescent="0.2">
      <c r="B20" t="s">
        <v>56</v>
      </c>
      <c r="C20" t="s">
        <v>57</v>
      </c>
      <c r="D20">
        <v>0</v>
      </c>
      <c r="E20" s="2">
        <v>200</v>
      </c>
      <c r="F20" s="5">
        <v>50</v>
      </c>
    </row>
    <row r="21" spans="2:6" x14ac:dyDescent="0.2">
      <c r="B21" t="s">
        <v>56</v>
      </c>
      <c r="C21" t="s">
        <v>58</v>
      </c>
      <c r="D21">
        <v>0</v>
      </c>
      <c r="E21" s="2">
        <v>44</v>
      </c>
      <c r="F21" s="4">
        <v>112</v>
      </c>
    </row>
    <row r="22" spans="2:6" x14ac:dyDescent="0.2">
      <c r="B22" t="s">
        <v>59</v>
      </c>
      <c r="C22">
        <v>100</v>
      </c>
      <c r="D22">
        <v>400</v>
      </c>
      <c r="F22" s="4">
        <v>122</v>
      </c>
    </row>
    <row r="23" spans="2:6" x14ac:dyDescent="0.2">
      <c r="B23" t="s">
        <v>60</v>
      </c>
      <c r="C23" t="s">
        <v>61</v>
      </c>
      <c r="D23">
        <v>100</v>
      </c>
      <c r="F23" s="4">
        <v>100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macro="[0]!InsertRowForProduct">
                <anchor moveWithCells="1" sizeWithCells="1">
                  <from>
                    <xdr:col>6</xdr:col>
                    <xdr:colOff>647700</xdr:colOff>
                    <xdr:row>1</xdr:row>
                    <xdr:rowOff>68580</xdr:rowOff>
                  </from>
                  <to>
                    <xdr:col>8</xdr:col>
                    <xdr:colOff>381000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Invoice</vt:lpstr>
      <vt:lpstr>Company info</vt:lpstr>
      <vt:lpstr>Products &amp; Services</vt:lpstr>
      <vt:lpstr>Invoice!Print_Area</vt:lpstr>
      <vt:lpstr>Products &amp; Services!Print_Area</vt:lpstr>
      <vt:lpstr>Products &amp; Services!Print_Titles</vt:lpstr>
      <vt:lpstr>product.list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abdul</cp:lastModifiedBy>
  <cp:lastPrinted>2024-04-08T01:17:00Z</cp:lastPrinted>
  <dcterms:created xsi:type="dcterms:W3CDTF">2024-04-05T11:19:00Z</dcterms:created>
  <dcterms:modified xsi:type="dcterms:W3CDTF">2024-05-26T05:35:56Z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28A5CD6DD6A14F9A97D01578FEC65507_12</vt:lpwstr>
  </property>
  <property fmtid="{D5CDD505-2E9C-101B-9397-08002B2CF9AE}" pid="3" name="KSOProductBuildVer">
    <vt:lpwstr>1033-12.2.0.16909</vt:lpwstr>
  </property>
</Properties>
</file>